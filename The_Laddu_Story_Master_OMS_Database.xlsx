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_&amp;_Inventory" sheetId="1" state="visible" r:id="rId1"/>
    <sheet xmlns:r="http://schemas.openxmlformats.org/officeDocument/2006/relationships"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4A121E"/>
      <sz val="16"/>
    </font>
    <font>
      <name val="Segoe UI"/>
      <b val="1"/>
      <color rgb="00065F46"/>
      <sz val="10"/>
    </font>
    <font>
      <name val="Segoe UI"/>
      <i val="1"/>
      <color rgb="0092400E"/>
      <sz val="9"/>
    </font>
    <font>
      <name val="Segoe UI"/>
      <b val="1"/>
      <color rgb="00FFFFFF"/>
      <sz val="11"/>
    </font>
    <font>
      <name val="Segoe UI"/>
      <b val="1"/>
      <color rgb="001F2937"/>
      <sz val="10"/>
    </font>
    <font>
      <name val="Segoe UI"/>
      <b val="1"/>
      <color rgb="00111827"/>
      <sz val="10"/>
    </font>
    <font>
      <name val="Segoe UI"/>
      <color rgb="002D3748"/>
      <sz val="10"/>
    </font>
  </fonts>
  <fills count="9">
    <fill>
      <patternFill/>
    </fill>
    <fill>
      <patternFill patternType="gray125"/>
    </fill>
    <fill>
      <patternFill patternType="solid">
        <fgColor rgb="00FAF6F0"/>
        <bgColor rgb="00FAF6F0"/>
      </patternFill>
    </fill>
    <fill>
      <patternFill patternType="solid">
        <fgColor rgb="00ECFDF5"/>
        <bgColor rgb="00ECFDF5"/>
      </patternFill>
    </fill>
    <fill>
      <patternFill patternType="solid">
        <fgColor rgb="00FEF3C7"/>
        <bgColor rgb="00FEF3C7"/>
      </patternFill>
    </fill>
    <fill>
      <patternFill patternType="solid">
        <fgColor rgb="00187A90"/>
        <bgColor rgb="00187A90"/>
      </patternFill>
    </fill>
    <fill>
      <patternFill patternType="solid">
        <fgColor rgb="00F2F8FA"/>
        <bgColor rgb="00F2F8FA"/>
      </patternFill>
    </fill>
    <fill>
      <patternFill patternType="solid">
        <fgColor rgb="00FFFFFF"/>
        <bgColor rgb="00FFFFFF"/>
      </patternFill>
    </fill>
    <fill>
      <patternFill patternType="solid">
        <fgColor rgb="00D6E5BA"/>
        <bgColor rgb="00D6E5B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3" customWidth="1" min="1" max="1"/>
    <col width="33" customWidth="1" min="2" max="2"/>
    <col width="12" customWidth="1" min="3" max="3"/>
    <col width="31" customWidth="1" min="4" max="4"/>
    <col width="24" customWidth="1" min="5" max="5"/>
    <col width="67" customWidth="1" min="6" max="6"/>
    <col width="16" customWidth="1" min="7" max="7"/>
    <col width="16" customWidth="1" min="8" max="8"/>
    <col width="47" customWidth="1" min="9" max="9"/>
  </cols>
  <sheetData>
    <row r="1">
      <c r="A1" s="1" t="inlineStr">
        <is>
          <t>- The Laddu Story -</t>
        </is>
      </c>
    </row>
    <row r="2">
      <c r="A2" s="2" t="inlineStr">
        <is>
          <t>Homemade healthy snacks: Ancient Indian traditions and superfoods | Contact: 9343207515</t>
        </is>
      </c>
    </row>
    <row r="3">
      <c r="A3" s="3" t="inlineStr">
        <is>
          <t>Laddus are made using pure cow ghee and unrefined jaggery powder as sweetener (Minimum order quantity- 500gms)</t>
        </is>
      </c>
    </row>
    <row r="4"/>
    <row r="5">
      <c r="A5" s="4" t="inlineStr">
        <is>
          <t>#</t>
        </is>
      </c>
      <c r="B5" s="4" t="inlineStr">
        <is>
          <t>Item</t>
        </is>
      </c>
      <c r="C5" s="4" t="inlineStr">
        <is>
          <t>Category</t>
        </is>
      </c>
      <c r="D5" s="4" t="inlineStr">
        <is>
          <t>Official Price</t>
        </is>
      </c>
      <c r="E5" s="4" t="inlineStr">
        <is>
          <t>Opening Stock (Packs)</t>
        </is>
      </c>
      <c r="F5" s="4" t="inlineStr">
        <is>
          <t>Packs Sold (=SUMIF)</t>
        </is>
      </c>
      <c r="G5" s="4" t="inlineStr">
        <is>
          <t>Current Stock</t>
        </is>
      </c>
      <c r="H5" s="4" t="inlineStr">
        <is>
          <t>Min Threshold</t>
        </is>
      </c>
      <c r="I5" s="4" t="inlineStr">
        <is>
          <t>Reorder Alert</t>
        </is>
      </c>
    </row>
    <row r="6">
      <c r="A6" s="5" t="inlineStr">
        <is>
          <t>01</t>
        </is>
      </c>
      <c r="B6" s="6" t="inlineStr">
        <is>
          <t>Ragi Walnut Laddu</t>
        </is>
      </c>
      <c r="C6" s="5" t="inlineStr">
        <is>
          <t>LADDU</t>
        </is>
      </c>
      <c r="D6" s="7" t="inlineStr">
        <is>
          <t>₹1,200 / Kg (Min 500g: ₹600)</t>
        </is>
      </c>
      <c r="E6" s="8" t="n">
        <v>50</v>
      </c>
      <c r="F6" s="8">
        <f>SUMIF(Orders!G:G, "Ragi Walnut Laddu", Orders!I:I)</f>
        <v/>
      </c>
      <c r="G6" s="5">
        <f>E6 - F6</f>
        <v/>
      </c>
      <c r="H6" s="8" t="n">
        <v>10</v>
      </c>
      <c r="I6" s="5">
        <f>IF(G6&lt;=H6, "⚠️ REORDER NOW", "✅ HEALTHY")</f>
        <v/>
      </c>
    </row>
    <row r="7">
      <c r="A7" s="9" t="inlineStr">
        <is>
          <t>02</t>
        </is>
      </c>
      <c r="B7" s="10" t="inlineStr">
        <is>
          <t>Till Laddu (Black Sesame)</t>
        </is>
      </c>
      <c r="C7" s="9" t="inlineStr">
        <is>
          <t>LADDU</t>
        </is>
      </c>
      <c r="D7" s="11" t="inlineStr">
        <is>
          <t>₹1,000 / Kg (Min 500g: ₹500)</t>
        </is>
      </c>
      <c r="E7" s="12" t="n">
        <v>50</v>
      </c>
      <c r="F7" s="12">
        <f>SUMIF(Orders!G:G, "Till Laddu (Black Sesame)", Orders!I:I)</f>
        <v/>
      </c>
      <c r="G7" s="9">
        <f>E7 - F7</f>
        <v/>
      </c>
      <c r="H7" s="12" t="n">
        <v>10</v>
      </c>
      <c r="I7" s="9">
        <f>IF(G7&lt;=H7, "⚠️ REORDER NOW", "✅ HEALTHY")</f>
        <v/>
      </c>
    </row>
    <row r="8">
      <c r="A8" s="5" t="inlineStr">
        <is>
          <t>03</t>
        </is>
      </c>
      <c r="B8" s="6" t="inlineStr">
        <is>
          <t>Sattu Almond Laddu</t>
        </is>
      </c>
      <c r="C8" s="5" t="inlineStr">
        <is>
          <t>LADDU</t>
        </is>
      </c>
      <c r="D8" s="7" t="inlineStr">
        <is>
          <t>₹1,100 / Kg (Min 500g: ₹550)</t>
        </is>
      </c>
      <c r="E8" s="8" t="n">
        <v>50</v>
      </c>
      <c r="F8" s="8">
        <f>SUMIF(Orders!G:G, "Sattu Almond Laddu", Orders!I:I)</f>
        <v/>
      </c>
      <c r="G8" s="5">
        <f>E8 - F8</f>
        <v/>
      </c>
      <c r="H8" s="8" t="n">
        <v>10</v>
      </c>
      <c r="I8" s="5">
        <f>IF(G8&lt;=H8, "⚠️ REORDER NOW", "✅ HEALTHY")</f>
        <v/>
      </c>
    </row>
    <row r="9">
      <c r="A9" s="9" t="inlineStr">
        <is>
          <t>04</t>
        </is>
      </c>
      <c r="B9" s="10" t="inlineStr">
        <is>
          <t>Groundnut Laddu</t>
        </is>
      </c>
      <c r="C9" s="9" t="inlineStr">
        <is>
          <t>LADDU</t>
        </is>
      </c>
      <c r="D9" s="11" t="inlineStr">
        <is>
          <t>₹800 / Kg (Min 500g: ₹400)</t>
        </is>
      </c>
      <c r="E9" s="12" t="n">
        <v>50</v>
      </c>
      <c r="F9" s="12">
        <f>SUMIF(Orders!G:G, "Groundnut Laddu", Orders!I:I)</f>
        <v/>
      </c>
      <c r="G9" s="9">
        <f>E9 - F9</f>
        <v/>
      </c>
      <c r="H9" s="12" t="n">
        <v>10</v>
      </c>
      <c r="I9" s="9">
        <f>IF(G9&lt;=H9, "⚠️ REORDER NOW", "✅ HEALTHY")</f>
        <v/>
      </c>
    </row>
    <row r="10">
      <c r="A10" s="5" t="inlineStr">
        <is>
          <t>05</t>
        </is>
      </c>
      <c r="B10" s="6" t="inlineStr">
        <is>
          <t>Quinoa Moong Dal Laddu</t>
        </is>
      </c>
      <c r="C10" s="5" t="inlineStr">
        <is>
          <t>LADDU</t>
        </is>
      </c>
      <c r="D10" s="7" t="inlineStr">
        <is>
          <t>₹1,250 / Kg (Min 500g: ₹625)</t>
        </is>
      </c>
      <c r="E10" s="8" t="n">
        <v>50</v>
      </c>
      <c r="F10" s="8">
        <f>SUMIF(Orders!G:G, "Quinoa Moong Dal Laddu", Orders!I:I)</f>
        <v/>
      </c>
      <c r="G10" s="5">
        <f>E10 - F10</f>
        <v/>
      </c>
      <c r="H10" s="8" t="n">
        <v>10</v>
      </c>
      <c r="I10" s="5">
        <f>IF(G10&lt;=H10, "⚠️ REORDER NOW", "✅ HEALTHY")</f>
        <v/>
      </c>
    </row>
    <row r="11">
      <c r="A11" s="9" t="inlineStr">
        <is>
          <t>06</t>
        </is>
      </c>
      <c r="B11" s="10" t="inlineStr">
        <is>
          <t>Methi (fenugreek) Laddu</t>
        </is>
      </c>
      <c r="C11" s="9" t="inlineStr">
        <is>
          <t>LADDU</t>
        </is>
      </c>
      <c r="D11" s="11" t="inlineStr">
        <is>
          <t>₹1,250 / Kg (Min 500g: ₹625)</t>
        </is>
      </c>
      <c r="E11" s="12" t="n">
        <v>50</v>
      </c>
      <c r="F11" s="12">
        <f>SUMIF(Orders!G:G, "Methi (fenugreek) Laddu", Orders!I:I)</f>
        <v/>
      </c>
      <c r="G11" s="9">
        <f>E11 - F11</f>
        <v/>
      </c>
      <c r="H11" s="12" t="n">
        <v>10</v>
      </c>
      <c r="I11" s="9">
        <f>IF(G11&lt;=H11, "⚠️ REORDER NOW", "✅ HEALTHY")</f>
        <v/>
      </c>
    </row>
    <row r="12">
      <c r="A12" s="5" t="inlineStr">
        <is>
          <t>07</t>
        </is>
      </c>
      <c r="B12" s="6" t="inlineStr">
        <is>
          <t>Dates &amp; Dry Fruits Bites</t>
        </is>
      </c>
      <c r="C12" s="5" t="inlineStr">
        <is>
          <t>LADDU</t>
        </is>
      </c>
      <c r="D12" s="7" t="inlineStr">
        <is>
          <t>₹1,900 / Kg (Min 500g: ₹950)</t>
        </is>
      </c>
      <c r="E12" s="8" t="n">
        <v>50</v>
      </c>
      <c r="F12" s="8">
        <f>SUMIF(Orders!G:G, "Dates &amp; Dry Fruits Bites", Orders!I:I)</f>
        <v/>
      </c>
      <c r="G12" s="5">
        <f>E12 - F12</f>
        <v/>
      </c>
      <c r="H12" s="8" t="n">
        <v>10</v>
      </c>
      <c r="I12" s="5">
        <f>IF(G12&lt;=H12, "⚠️ REORDER NOW", "✅ HEALTHY")</f>
        <v/>
      </c>
    </row>
    <row r="13">
      <c r="A13" s="9" t="inlineStr">
        <is>
          <t>08</t>
        </is>
      </c>
      <c r="B13" s="10" t="inlineStr">
        <is>
          <t>Post Delivery Panjeeri / Laddu</t>
        </is>
      </c>
      <c r="C13" s="9" t="inlineStr">
        <is>
          <t>LADDU</t>
        </is>
      </c>
      <c r="D13" s="11" t="inlineStr">
        <is>
          <t>₹1,800 / Kg (Min 500g: ₹900)</t>
        </is>
      </c>
      <c r="E13" s="12" t="n">
        <v>50</v>
      </c>
      <c r="F13" s="12">
        <f>SUMIF(Orders!G:G, "Post Delivery Panjeeri / Laddu", Orders!I:I)</f>
        <v/>
      </c>
      <c r="G13" s="9">
        <f>E13 - F13</f>
        <v/>
      </c>
      <c r="H13" s="12" t="n">
        <v>10</v>
      </c>
      <c r="I13" s="9">
        <f>IF(G13&lt;=H13, "⚠️ REORDER NOW", "✅ HEALTHY")</f>
        <v/>
      </c>
    </row>
    <row r="14">
      <c r="A14" s="5" t="inlineStr">
        <is>
          <t>09</t>
        </is>
      </c>
      <c r="B14" s="6" t="inlineStr">
        <is>
          <t>Jawar Panjeeri / Laddu</t>
        </is>
      </c>
      <c r="C14" s="5" t="inlineStr">
        <is>
          <t>LADDU</t>
        </is>
      </c>
      <c r="D14" s="7" t="inlineStr">
        <is>
          <t>₹1,900 / Kg (Min 500g: ₹950)</t>
        </is>
      </c>
      <c r="E14" s="8" t="n">
        <v>50</v>
      </c>
      <c r="F14" s="8">
        <f>SUMIF(Orders!G:G, "Jawar Panjeeri / Laddu", Orders!I:I)</f>
        <v/>
      </c>
      <c r="G14" s="5">
        <f>E14 - F14</f>
        <v/>
      </c>
      <c r="H14" s="8" t="n">
        <v>10</v>
      </c>
      <c r="I14" s="5">
        <f>IF(G14&lt;=H14, "⚠️ REORDER NOW", "✅ HEALTHY")</f>
        <v/>
      </c>
    </row>
    <row r="15">
      <c r="A15" s="13" t="inlineStr">
        <is>
          <t>10</t>
        </is>
      </c>
      <c r="B15" s="14" t="inlineStr">
        <is>
          <t>Savory Munchies (Makhana)</t>
        </is>
      </c>
      <c r="C15" s="13" t="inlineStr">
        <is>
          <t>SAVORY</t>
        </is>
      </c>
      <c r="D15" s="15" t="inlineStr">
        <is>
          <t>Roasted Makhana (₹275/100g)</t>
        </is>
      </c>
      <c r="E15" s="16" t="n">
        <v>50</v>
      </c>
      <c r="F15" s="16">
        <f>SUMIF(Orders!G:G, "Savory Munchies (Makhana)", Orders!I:I)</f>
        <v/>
      </c>
      <c r="G15" s="13">
        <f>E15 - F15</f>
        <v/>
      </c>
      <c r="H15" s="16" t="n">
        <v>10</v>
      </c>
      <c r="I15" s="13">
        <f>IF(G15&lt;=H15, "⚠️ REORDER NOW", "✅ HEALTHY")</f>
        <v/>
      </c>
    </row>
    <row r="16">
      <c r="A16" s="13" t="inlineStr">
        <is>
          <t>11</t>
        </is>
      </c>
      <c r="B16" s="14" t="inlineStr">
        <is>
          <t>Savory Munchies (Murmura)</t>
        </is>
      </c>
      <c r="C16" s="13" t="inlineStr">
        <is>
          <t>SAVORY</t>
        </is>
      </c>
      <c r="D16" s="15" t="inlineStr">
        <is>
          <t>Millet Mudi Mix (₹200/200g)</t>
        </is>
      </c>
      <c r="E16" s="16" t="n">
        <v>50</v>
      </c>
      <c r="F16" s="16">
        <f>SUMIF(Orders!G:G, "Savory Munchies (Murmura)", Orders!I:I)</f>
        <v/>
      </c>
      <c r="G16" s="13">
        <f>E16 - F16</f>
        <v/>
      </c>
      <c r="H16" s="16" t="n">
        <v>10</v>
      </c>
      <c r="I16" s="13">
        <f>IF(G16&lt;=H16, "⚠️ REORDER NOW", "✅ HEALTHY")</f>
        <v/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7" customWidth="1" min="3" max="3"/>
    <col width="16" customWidth="1" min="4" max="4"/>
    <col width="18" customWidth="1" min="5" max="5"/>
    <col width="25" customWidth="1" min="6" max="6"/>
    <col width="33" customWidth="1" min="7" max="7"/>
    <col width="13" customWidth="1" min="8" max="8"/>
    <col width="12" customWidth="1" min="9" max="9"/>
    <col width="13" customWidth="1" min="10" max="10"/>
    <col width="14" customWidth="1" min="11" max="11"/>
    <col width="16" customWidth="1" min="12" max="12"/>
    <col width="16" customWidth="1" min="13" max="13"/>
    <col width="14" customWidth="1" min="14" max="14"/>
    <col width="25" customWidth="1" min="15" max="15"/>
    <col width="27" customWidth="1" min="16" max="16"/>
  </cols>
  <sheetData>
    <row r="1">
      <c r="A1" s="4" t="inlineStr">
        <is>
          <t>OrderID</t>
        </is>
      </c>
      <c r="B1" s="4" t="inlineStr">
        <is>
          <t>Timestamp</t>
        </is>
      </c>
      <c r="C1" s="4" t="inlineStr">
        <is>
          <t>Channel</t>
        </is>
      </c>
      <c r="D1" s="4" t="inlineStr">
        <is>
          <t>CustomerName</t>
        </is>
      </c>
      <c r="E1" s="4" t="inlineStr">
        <is>
          <t>CustomerPhone</t>
        </is>
      </c>
      <c r="F1" s="4" t="inlineStr">
        <is>
          <t>SKU</t>
        </is>
      </c>
      <c r="G1" s="4" t="inlineStr">
        <is>
          <t>ItemName</t>
        </is>
      </c>
      <c r="H1" s="4" t="inlineStr">
        <is>
          <t>PackWeight</t>
        </is>
      </c>
      <c r="I1" s="4" t="inlineStr">
        <is>
          <t>Quantity</t>
        </is>
      </c>
      <c r="J1" s="4" t="inlineStr">
        <is>
          <t>UnitAmount</t>
        </is>
      </c>
      <c r="K1" s="4" t="inlineStr">
        <is>
          <t>TotalAmount</t>
        </is>
      </c>
      <c r="L1" s="4" t="inlineStr">
        <is>
          <t>PaymentMethod</t>
        </is>
      </c>
      <c r="M1" s="4" t="inlineStr">
        <is>
          <t>PaymentStatus</t>
        </is>
      </c>
      <c r="N1" s="4" t="inlineStr">
        <is>
          <t>OrderStatus</t>
        </is>
      </c>
      <c r="O1" s="4" t="inlineStr">
        <is>
          <t>DeliveryAddress</t>
        </is>
      </c>
      <c r="P1" s="4" t="inlineStr">
        <is>
          <t>Notes</t>
        </is>
      </c>
    </row>
    <row r="2">
      <c r="A2" s="17" t="inlineStr">
        <is>
          <t>TLS-20261010-1001</t>
        </is>
      </c>
      <c r="B2" s="17" t="inlineStr">
        <is>
          <t>2026-10-10 10:15:00</t>
        </is>
      </c>
      <c r="C2" s="17" t="inlineStr">
        <is>
          <t>ONLINE_WEB_APP</t>
        </is>
      </c>
      <c r="D2" s="17" t="inlineStr">
        <is>
          <t>Priya Sharma</t>
        </is>
      </c>
      <c r="E2" s="17" t="inlineStr">
        <is>
          <t>+91 98450 12345</t>
        </is>
      </c>
      <c r="F2" s="17" t="inlineStr">
        <is>
          <t>RAGI-WALNUT</t>
        </is>
      </c>
      <c r="G2" s="17" t="inlineStr">
        <is>
          <t>Ragi Walnut Laddu</t>
        </is>
      </c>
      <c r="H2" s="17" t="inlineStr">
        <is>
          <t>1 Kg</t>
        </is>
      </c>
      <c r="I2" s="17" t="n">
        <v>1</v>
      </c>
      <c r="J2" s="17" t="n">
        <v>1200</v>
      </c>
      <c r="K2" s="17" t="n">
        <v>1200</v>
      </c>
      <c r="L2" s="17" t="inlineStr">
        <is>
          <t>UPI</t>
        </is>
      </c>
      <c r="M2" s="17" t="inlineStr">
        <is>
          <t>PAID</t>
        </is>
      </c>
      <c r="N2" s="17" t="inlineStr">
        <is>
          <t>DELIVERED</t>
        </is>
      </c>
      <c r="O2" s="17" t="inlineStr">
        <is>
          <t>HSR Layout, Bangalore</t>
        </is>
      </c>
      <c r="P2" s="17" t="inlineStr">
        <is>
          <t>Pure Ghee regular</t>
        </is>
      </c>
    </row>
    <row r="3">
      <c r="A3" s="17" t="inlineStr">
        <is>
          <t>TLS-20261010-1002</t>
        </is>
      </c>
      <c r="B3" s="17" t="inlineStr">
        <is>
          <t>2026-10-10 11:30:00</t>
        </is>
      </c>
      <c r="C3" s="17" t="inlineStr">
        <is>
          <t>WHATSAPP</t>
        </is>
      </c>
      <c r="D3" s="17" t="inlineStr">
        <is>
          <t>Arun Kumar</t>
        </is>
      </c>
      <c r="E3" s="17" t="inlineStr">
        <is>
          <t>+91 99001 88776</t>
        </is>
      </c>
      <c r="F3" s="17" t="inlineStr">
        <is>
          <t>POST-DELIVERY-PANJEERI</t>
        </is>
      </c>
      <c r="G3" s="17" t="inlineStr">
        <is>
          <t>Post Delivery Panjeeri / Laddu</t>
        </is>
      </c>
      <c r="H3" s="17" t="inlineStr">
        <is>
          <t>500g</t>
        </is>
      </c>
      <c r="I3" s="17" t="n">
        <v>2</v>
      </c>
      <c r="J3" s="17" t="n">
        <v>900</v>
      </c>
      <c r="K3" s="17" t="n">
        <v>1800</v>
      </c>
      <c r="L3" s="17" t="inlineStr">
        <is>
          <t>UPI</t>
        </is>
      </c>
      <c r="M3" s="17" t="inlineStr">
        <is>
          <t>PAID</t>
        </is>
      </c>
      <c r="N3" s="17" t="inlineStr">
        <is>
          <t>PACKED</t>
        </is>
      </c>
      <c r="O3" s="17" t="inlineStr">
        <is>
          <t>Indiranagar, Bangalore</t>
        </is>
      </c>
      <c r="P3" s="17" t="inlineStr">
        <is>
          <t>Postpartum healing batch</t>
        </is>
      </c>
    </row>
    <row r="4">
      <c r="A4" s="17" t="inlineStr">
        <is>
          <t>TLS-20261010-1003</t>
        </is>
      </c>
      <c r="B4" s="17" t="inlineStr">
        <is>
          <t>2026-10-10 12:05:00</t>
        </is>
      </c>
      <c r="C4" s="17" t="inlineStr">
        <is>
          <t>WALK_IN</t>
        </is>
      </c>
      <c r="D4" s="17" t="inlineStr">
        <is>
          <t>Meera Nambiar</t>
        </is>
      </c>
      <c r="E4" s="17" t="inlineStr">
        <is>
          <t>+91 93432 07515</t>
        </is>
      </c>
      <c r="F4" s="17" t="inlineStr">
        <is>
          <t>SAVORY-MAKHANA</t>
        </is>
      </c>
      <c r="G4" s="17" t="inlineStr">
        <is>
          <t>Savory Munchies (Makhana)</t>
        </is>
      </c>
      <c r="H4" s="17" t="inlineStr">
        <is>
          <t>100g</t>
        </is>
      </c>
      <c r="I4" s="17" t="n">
        <v>2</v>
      </c>
      <c r="J4" s="17" t="n">
        <v>275</v>
      </c>
      <c r="K4" s="17" t="n">
        <v>550</v>
      </c>
      <c r="L4" s="17" t="inlineStr">
        <is>
          <t>CASH</t>
        </is>
      </c>
      <c r="M4" s="17" t="inlineStr">
        <is>
          <t>PAID</t>
        </is>
      </c>
      <c r="N4" s="17" t="inlineStr">
        <is>
          <t>DELIVERED</t>
        </is>
      </c>
      <c r="O4" s="17" t="inlineStr">
        <is>
          <t>Store Counter</t>
        </is>
      </c>
      <c r="P4" s="17" t="inlineStr">
        <is>
          <t>Tea-time snack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2026-10-09T19:08:51Z</dcterms:created>
  <dcterms:modified xmlns:dcterms="http://purl.org/dc/terms/" xmlns:xsi="http://www.w3.org/2001/XMLSchema-instance" xsi:type="dcterms:W3CDTF">2026-10-09T19:08:51Z</dcterms:modified>
</cp:coreProperties>
</file>